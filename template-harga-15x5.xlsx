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Catat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dd-mmm-yy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4" fillId="0" borderId="0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3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5" fillId="2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horizontal="center"/>
    </xf>
    <xf numFmtId="166" fontId="4" fillId="3" borderId="1" pivotButton="0" quotePrefix="0" xfId="0"/>
    <xf numFmtId="166" fontId="5" fillId="2" borderId="1" pivotButton="0" quotePrefix="0" xfId="0"/>
    <xf numFmtId="1" fontId="5" fillId="2" borderId="1" pivotButton="0" quotePrefix="0" xfId="0"/>
    <xf numFmtId="1" fontId="4" fillId="3" borderId="1" pivotButton="0" quotePrefix="0" xfId="0"/>
    <xf numFmtId="0" fontId="3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164" fontId="4" fillId="5" borderId="1" pivotButton="0" quotePrefix="0" xfId="0"/>
    <xf numFmtId="166" fontId="4" fillId="5" borderId="1" pivotButton="0" quotePrefix="0" xfId="0"/>
    <xf numFmtId="0" fontId="3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B1" s="1" t="inlineStr">
        <is>
          <t>Eksperimen Harga: 15 barang × 5 toko (Kudus)</t>
        </is>
      </c>
    </row>
    <row r="2">
      <c r="B2" s="2" t="inlineStr">
        <is>
          <t>Tujuan: membuktikan apakah selisih harga antar toko cukup besar untuk membuat rekomendasi 'beli di mana' bermakna (lihat kriteria pivot di PLAN.md).</t>
        </is>
      </c>
    </row>
    <row r="4">
      <c r="B4" s="3" t="inlineStr">
        <is>
          <t>Cara mengisi</t>
        </is>
      </c>
    </row>
    <row r="5" ht="28" customHeight="1">
      <c r="B5" s="4" t="inlineStr">
        <is>
          <t>1. Isi sheet 'Catat': nama, tipe, dan tanggal cek tiap toko (sel kuning di baris 4–6).</t>
        </is>
      </c>
    </row>
    <row r="6" ht="28" customHeight="1">
      <c r="B6" s="4" t="inlineStr">
        <is>
          <t>2. Catat harga rak yang berlaku untuk SEMUA pembeli, per kemasan, dalam angka saja (tanpa 'Rp', titik, atau tanda '-').</t>
        </is>
      </c>
    </row>
    <row r="7" ht="28" customHeight="1">
      <c r="B7" s="4" t="inlineStr">
        <is>
          <t>3. Barang harus PERSIS sama di semua toko: merek, varian, dan ukuran. Kalau ukuran di rak berbeda dari kolom 'Kemasan', ubah teks kemasan itu agar sama di semua toko.</t>
        </is>
      </c>
    </row>
    <row r="8" ht="28" customHeight="1">
      <c r="B8" s="4" t="inlineStr">
        <is>
          <t>4. Kalau toko tidak menjual barangnya, kosongkan selnya. Jangan isi 0 atau teks.</t>
        </is>
      </c>
    </row>
    <row r="9" ht="28" customHeight="1">
      <c r="B9" s="4" t="inlineStr">
        <is>
          <t>5. Harga khusus member/kartu atau 'beli 2 gratis 1' tidak dimasukkan ke kolom harga; tulis di kolom Catatan.</t>
        </is>
      </c>
    </row>
    <row r="10" ht="28" customHeight="1">
      <c r="B10" s="4" t="inlineStr">
        <is>
          <t>6. Cek semua toko dalam 1–2 hari yang sama (harga berubah mingguan). Foto label rak sebagai bukti; foto ini juga berguna sebagai bahan uji fitur label rak nanti.</t>
        </is>
      </c>
    </row>
    <row r="11" ht="28" customHeight="1">
      <c r="B11" s="4" t="inlineStr">
        <is>
          <t>7. Lihat sheet 'Ringkasan'. Hasilnya menentukan apakah wedge produk dilanjutkan (lihat vonis di sana).</t>
        </is>
      </c>
    </row>
    <row r="13">
      <c r="B13" s="3" t="inlineStr">
        <is>
          <t>Legenda warna</t>
        </is>
      </c>
    </row>
    <row r="14">
      <c r="B14" s="5" t="inlineStr">
        <is>
          <t>Kuning + teks biru</t>
        </is>
      </c>
      <c r="C14" s="6" t="inlineStr">
        <is>
          <t>Sel yang kamu isi</t>
        </is>
      </c>
    </row>
    <row r="15">
      <c r="B15" s="7" t="inlineStr">
        <is>
          <t>Abu-abu, teks hitam</t>
        </is>
      </c>
      <c r="C15" s="6" t="inlineStr">
        <is>
          <t>Rumus, jangan diubah</t>
        </is>
      </c>
    </row>
    <row r="18">
      <c r="B18" s="3" t="inlineStr">
        <is>
          <t>Contoh format pengisian (angka contoh, BUKAN data nyata)</t>
        </is>
      </c>
    </row>
    <row r="19">
      <c r="B19" s="8" t="inlineStr">
        <is>
          <t>Barang</t>
        </is>
      </c>
      <c r="C19" s="8" t="inlineStr">
        <is>
          <t>Kemasan</t>
        </is>
      </c>
      <c r="D19" s="8" t="inlineStr">
        <is>
          <t>Toko 1</t>
        </is>
      </c>
      <c r="E19" s="8" t="inlineStr">
        <is>
          <t>Toko 2</t>
        </is>
      </c>
      <c r="F19" s="8" t="inlineStr">
        <is>
          <t>Toko 3</t>
        </is>
      </c>
      <c r="G19" s="8" t="inlineStr">
        <is>
          <t>Toko 4</t>
        </is>
      </c>
      <c r="H19" s="8" t="inlineStr">
        <is>
          <t>Toko 5</t>
        </is>
      </c>
      <c r="I19" s="8" t="inlineStr">
        <is>
          <t>Catatan</t>
        </is>
      </c>
    </row>
    <row r="20">
      <c r="B20" s="9" t="inlineStr">
        <is>
          <t>Indomie Goreng</t>
        </is>
      </c>
      <c r="C20" s="9" t="inlineStr">
        <is>
          <t>1 bungkus (85 g)</t>
        </is>
      </c>
      <c r="D20" s="10" t="n">
        <v>3500</v>
      </c>
      <c r="E20" s="10" t="n">
        <v>3300</v>
      </c>
      <c r="F20" s="10" t="n">
        <v>3400</v>
      </c>
      <c r="G20" s="10" t="n"/>
      <c r="H20" s="10" t="n">
        <v>3200</v>
      </c>
      <c r="I20" s="9" t="inlineStr">
        <is>
          <t>Toko 4 tidak menjual</t>
        </is>
      </c>
    </row>
    <row r="22">
      <c r="B22" s="2" t="inlineStr">
        <is>
          <t>Asumsi dalam ringkasan: biaya tetap per toko tambahan, ambang selisih bermakna, dan minimum barang lengkap diatur di sheet 'Ringkasan' (sel biru).</t>
        </is>
      </c>
    </row>
  </sheetData>
  <mergeCells count="7">
    <mergeCell ref="B9:I9"/>
    <mergeCell ref="B7:I7"/>
    <mergeCell ref="B11:I11"/>
    <mergeCell ref="B6:I6"/>
    <mergeCell ref="B10:I10"/>
    <mergeCell ref="B5:I5"/>
    <mergeCell ref="B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6" customWidth="1" min="10" max="10"/>
    <col width="13" customWidth="1" min="11" max="11"/>
    <col width="11" customWidth="1" min="12" max="12"/>
    <col width="10" customWidth="1" min="13" max="13"/>
    <col width="34" customWidth="1" min="14" max="14"/>
  </cols>
  <sheetData>
    <row r="1">
      <c r="A1" s="1" t="inlineStr">
        <is>
          <t>Catat harga (Rp per kemasan)</t>
        </is>
      </c>
    </row>
    <row r="2">
      <c r="A2" s="2" t="inlineStr">
        <is>
          <t>Isi hanya sel kuning. Kosongkan jika toko tidak menjual. Baca sheet 'Petunjuk' dulu.</t>
        </is>
      </c>
    </row>
    <row r="4">
      <c r="B4" s="11" t="inlineStr">
        <is>
          <t>Nama toko →</t>
        </is>
      </c>
      <c r="D4" s="12" t="inlineStr">
        <is>
          <t>Toko 1</t>
        </is>
      </c>
      <c r="E4" s="12" t="inlineStr">
        <is>
          <t>Toko 2</t>
        </is>
      </c>
      <c r="F4" s="12" t="inlineStr">
        <is>
          <t>Toko 3</t>
        </is>
      </c>
      <c r="G4" s="12" t="inlineStr">
        <is>
          <t>Toko 4</t>
        </is>
      </c>
      <c r="H4" s="12" t="inlineStr">
        <is>
          <t>Toko 5</t>
        </is>
      </c>
    </row>
    <row r="5">
      <c r="B5" s="11" t="inlineStr">
        <is>
          <t>Tipe toko →</t>
        </is>
      </c>
      <c r="D5" s="12" t="n"/>
      <c r="E5" s="12" t="n"/>
      <c r="F5" s="12" t="n"/>
      <c r="G5" s="12" t="n"/>
      <c r="H5" s="12" t="n"/>
    </row>
    <row r="6">
      <c r="B6" s="11" t="inlineStr">
        <is>
          <t>Tanggal cek →</t>
        </is>
      </c>
      <c r="D6" s="13" t="n"/>
      <c r="E6" s="13" t="n"/>
      <c r="F6" s="13" t="n"/>
      <c r="G6" s="13" t="n"/>
      <c r="H6" s="13" t="n"/>
    </row>
    <row r="7" ht="42" customHeight="1">
      <c r="A7" s="14" t="inlineStr">
        <is>
          <t>No</t>
        </is>
      </c>
      <c r="B7" s="14" t="inlineStr">
        <is>
          <t>Barang</t>
        </is>
      </c>
      <c r="C7" s="14" t="inlineStr">
        <is>
          <t>Kemasan</t>
        </is>
      </c>
      <c r="D7" s="14">
        <f>D4</f>
        <v/>
      </c>
      <c r="E7" s="14">
        <f>E4</f>
        <v/>
      </c>
      <c r="F7" s="14">
        <f>F4</f>
        <v/>
      </c>
      <c r="G7" s="14">
        <f>G4</f>
        <v/>
      </c>
      <c r="H7" s="14">
        <f>H4</f>
        <v/>
      </c>
      <c r="I7" s="14" t="inlineStr">
        <is>
          <t>Termurah (Rp)</t>
        </is>
      </c>
      <c r="J7" s="14" t="inlineStr">
        <is>
          <t>Toko termurah</t>
        </is>
      </c>
      <c r="K7" s="14" t="inlineStr">
        <is>
          <t>Selisih maks–min (Rp)</t>
        </is>
      </c>
      <c r="L7" s="14" t="inlineStr">
        <is>
          <t>Selisih (%)</t>
        </is>
      </c>
      <c r="M7" s="14" t="inlineStr">
        <is>
          <t>Ada di semua toko? (1/0)</t>
        </is>
      </c>
      <c r="N7" s="14" t="inlineStr">
        <is>
          <t>Catatan (promo, member, dsb.)</t>
        </is>
      </c>
    </row>
    <row r="8">
      <c r="A8" s="15" t="n">
        <v>1</v>
      </c>
      <c r="B8" s="5" t="inlineStr">
        <is>
          <t>Beras premium (pilih 1 merek yang sama di semua toko)</t>
        </is>
      </c>
      <c r="C8" s="5" t="inlineStr">
        <is>
          <t>5 kg</t>
        </is>
      </c>
      <c r="D8" s="16" t="n"/>
      <c r="E8" s="16" t="n"/>
      <c r="F8" s="16" t="n"/>
      <c r="G8" s="16" t="n"/>
      <c r="H8" s="16" t="n"/>
      <c r="I8" s="17">
        <f>IF(COUNT(D8:H8)=0,"",MIN(D8:H8))</f>
        <v/>
      </c>
      <c r="J8" s="18">
        <f>IF(COUNT(D8:H8)=0,"",INDEX($D$4:$H$4,MATCH(I8,D8:H8,0)))</f>
        <v/>
      </c>
      <c r="K8" s="17">
        <f>IF(COUNT(D8:H8)&lt;2,"",MAX(D8:H8)-MIN(D8:H8))</f>
        <v/>
      </c>
      <c r="L8" s="19">
        <f>IF(COUNT(D8:H8)&lt;2,"",IF(MIN(D8:H8)=0,"",(MAX(D8:H8)-MIN(D8:H8))/MIN(D8:H8)))</f>
        <v/>
      </c>
      <c r="M8" s="18">
        <f>IF(COUNT(D8:H8)=COLUMNS(D8:H8),1,0)</f>
        <v/>
      </c>
      <c r="N8" s="5" t="n"/>
    </row>
    <row r="9">
      <c r="A9" s="15" t="n">
        <v>2</v>
      </c>
      <c r="B9" s="5" t="inlineStr">
        <is>
          <t>Minyak goreng kemasan (mis. Bimoli / Sania)</t>
        </is>
      </c>
      <c r="C9" s="5" t="inlineStr">
        <is>
          <t>2 L</t>
        </is>
      </c>
      <c r="D9" s="16" t="n"/>
      <c r="E9" s="16" t="n"/>
      <c r="F9" s="16" t="n"/>
      <c r="G9" s="16" t="n"/>
      <c r="H9" s="16" t="n"/>
      <c r="I9" s="17">
        <f>IF(COUNT(D9:H9)=0,"",MIN(D9:H9))</f>
        <v/>
      </c>
      <c r="J9" s="18">
        <f>IF(COUNT(D9:H9)=0,"",INDEX($D$4:$H$4,MATCH(I9,D9:H9,0)))</f>
        <v/>
      </c>
      <c r="K9" s="17">
        <f>IF(COUNT(D9:H9)&lt;2,"",MAX(D9:H9)-MIN(D9:H9))</f>
        <v/>
      </c>
      <c r="L9" s="19">
        <f>IF(COUNT(D9:H9)&lt;2,"",IF(MIN(D9:H9)=0,"",(MAX(D9:H9)-MIN(D9:H9))/MIN(D9:H9)))</f>
        <v/>
      </c>
      <c r="M9" s="18">
        <f>IF(COUNT(D9:H9)=COLUMNS(D9:H9),1,0)</f>
        <v/>
      </c>
      <c r="N9" s="5" t="n"/>
    </row>
    <row r="10">
      <c r="A10" s="15" t="n">
        <v>3</v>
      </c>
      <c r="B10" s="5" t="inlineStr">
        <is>
          <t>Minyakita (harga eceran tertinggi, sebagai pembanding)</t>
        </is>
      </c>
      <c r="C10" s="5" t="inlineStr">
        <is>
          <t>1 L</t>
        </is>
      </c>
      <c r="D10" s="16" t="n"/>
      <c r="E10" s="16" t="n"/>
      <c r="F10" s="16" t="n"/>
      <c r="G10" s="16" t="n"/>
      <c r="H10" s="16" t="n"/>
      <c r="I10" s="17">
        <f>IF(COUNT(D10:H10)=0,"",MIN(D10:H10))</f>
        <v/>
      </c>
      <c r="J10" s="18">
        <f>IF(COUNT(D10:H10)=0,"",INDEX($D$4:$H$4,MATCH(I10,D10:H10,0)))</f>
        <v/>
      </c>
      <c r="K10" s="17">
        <f>IF(COUNT(D10:H10)&lt;2,"",MAX(D10:H10)-MIN(D10:H10))</f>
        <v/>
      </c>
      <c r="L10" s="19">
        <f>IF(COUNT(D10:H10)&lt;2,"",IF(MIN(D10:H10)=0,"",(MAX(D10:H10)-MIN(D10:H10))/MIN(D10:H10)))</f>
        <v/>
      </c>
      <c r="M10" s="18">
        <f>IF(COUNT(D10:H10)=COLUMNS(D10:H10),1,0)</f>
        <v/>
      </c>
      <c r="N10" s="5" t="n"/>
    </row>
    <row r="11">
      <c r="A11" s="15" t="n">
        <v>4</v>
      </c>
      <c r="B11" s="5" t="inlineStr">
        <is>
          <t>Gula pasir (mis. Gulaku)</t>
        </is>
      </c>
      <c r="C11" s="5" t="inlineStr">
        <is>
          <t>1 kg</t>
        </is>
      </c>
      <c r="D11" s="16" t="n"/>
      <c r="E11" s="16" t="n"/>
      <c r="F11" s="16" t="n"/>
      <c r="G11" s="16" t="n"/>
      <c r="H11" s="16" t="n"/>
      <c r="I11" s="17">
        <f>IF(COUNT(D11:H11)=0,"",MIN(D11:H11))</f>
        <v/>
      </c>
      <c r="J11" s="18">
        <f>IF(COUNT(D11:H11)=0,"",INDEX($D$4:$H$4,MATCH(I11,D11:H11,0)))</f>
        <v/>
      </c>
      <c r="K11" s="17">
        <f>IF(COUNT(D11:H11)&lt;2,"",MAX(D11:H11)-MIN(D11:H11))</f>
        <v/>
      </c>
      <c r="L11" s="19">
        <f>IF(COUNT(D11:H11)&lt;2,"",IF(MIN(D11:H11)=0,"",(MAX(D11:H11)-MIN(D11:H11))/MIN(D11:H11)))</f>
        <v/>
      </c>
      <c r="M11" s="18">
        <f>IF(COUNT(D11:H11)=COLUMNS(D11:H11),1,0)</f>
        <v/>
      </c>
      <c r="N11" s="5" t="n"/>
    </row>
    <row r="12">
      <c r="A12" s="15" t="n">
        <v>5</v>
      </c>
      <c r="B12" s="5" t="inlineStr">
        <is>
          <t>Telur ayam ras</t>
        </is>
      </c>
      <c r="C12" s="5" t="inlineStr">
        <is>
          <t>1 kg</t>
        </is>
      </c>
      <c r="D12" s="16" t="n"/>
      <c r="E12" s="16" t="n"/>
      <c r="F12" s="16" t="n"/>
      <c r="G12" s="16" t="n"/>
      <c r="H12" s="16" t="n"/>
      <c r="I12" s="17">
        <f>IF(COUNT(D12:H12)=0,"",MIN(D12:H12))</f>
        <v/>
      </c>
      <c r="J12" s="18">
        <f>IF(COUNT(D12:H12)=0,"",INDEX($D$4:$H$4,MATCH(I12,D12:H12,0)))</f>
        <v/>
      </c>
      <c r="K12" s="17">
        <f>IF(COUNT(D12:H12)&lt;2,"",MAX(D12:H12)-MIN(D12:H12))</f>
        <v/>
      </c>
      <c r="L12" s="19">
        <f>IF(COUNT(D12:H12)&lt;2,"",IF(MIN(D12:H12)=0,"",(MAX(D12:H12)-MIN(D12:H12))/MIN(D12:H12)))</f>
        <v/>
      </c>
      <c r="M12" s="18">
        <f>IF(COUNT(D12:H12)=COLUMNS(D12:H12),1,0)</f>
        <v/>
      </c>
      <c r="N12" s="5" t="n"/>
    </row>
    <row r="13">
      <c r="A13" s="15" t="n">
        <v>6</v>
      </c>
      <c r="B13" s="5" t="inlineStr">
        <is>
          <t>Tepung terigu Segitiga Biru</t>
        </is>
      </c>
      <c r="C13" s="5" t="inlineStr">
        <is>
          <t>1 kg</t>
        </is>
      </c>
      <c r="D13" s="16" t="n"/>
      <c r="E13" s="16" t="n"/>
      <c r="F13" s="16" t="n"/>
      <c r="G13" s="16" t="n"/>
      <c r="H13" s="16" t="n"/>
      <c r="I13" s="17">
        <f>IF(COUNT(D13:H13)=0,"",MIN(D13:H13))</f>
        <v/>
      </c>
      <c r="J13" s="18">
        <f>IF(COUNT(D13:H13)=0,"",INDEX($D$4:$H$4,MATCH(I13,D13:H13,0)))</f>
        <v/>
      </c>
      <c r="K13" s="17">
        <f>IF(COUNT(D13:H13)&lt;2,"",MAX(D13:H13)-MIN(D13:H13))</f>
        <v/>
      </c>
      <c r="L13" s="19">
        <f>IF(COUNT(D13:H13)&lt;2,"",IF(MIN(D13:H13)=0,"",(MAX(D13:H13)-MIN(D13:H13))/MIN(D13:H13)))</f>
        <v/>
      </c>
      <c r="M13" s="18">
        <f>IF(COUNT(D13:H13)=COLUMNS(D13:H13),1,0)</f>
        <v/>
      </c>
      <c r="N13" s="5" t="n"/>
    </row>
    <row r="14">
      <c r="A14" s="15" t="n">
        <v>7</v>
      </c>
      <c r="B14" s="5" t="inlineStr">
        <is>
          <t>Indomie Goreng</t>
        </is>
      </c>
      <c r="C14" s="5" t="inlineStr">
        <is>
          <t>1 bungkus (85 g)</t>
        </is>
      </c>
      <c r="D14" s="16" t="n"/>
      <c r="E14" s="16" t="n"/>
      <c r="F14" s="16" t="n"/>
      <c r="G14" s="16" t="n"/>
      <c r="H14" s="16" t="n"/>
      <c r="I14" s="17">
        <f>IF(COUNT(D14:H14)=0,"",MIN(D14:H14))</f>
        <v/>
      </c>
      <c r="J14" s="18">
        <f>IF(COUNT(D14:H14)=0,"",INDEX($D$4:$H$4,MATCH(I14,D14:H14,0)))</f>
        <v/>
      </c>
      <c r="K14" s="17">
        <f>IF(COUNT(D14:H14)&lt;2,"",MAX(D14:H14)-MIN(D14:H14))</f>
        <v/>
      </c>
      <c r="L14" s="19">
        <f>IF(COUNT(D14:H14)&lt;2,"",IF(MIN(D14:H14)=0,"",(MAX(D14:H14)-MIN(D14:H14))/MIN(D14:H14)))</f>
        <v/>
      </c>
      <c r="M14" s="18">
        <f>IF(COUNT(D14:H14)=COLUMNS(D14:H14),1,0)</f>
        <v/>
      </c>
      <c r="N14" s="5" t="n"/>
    </row>
    <row r="15">
      <c r="A15" s="15" t="n">
        <v>8</v>
      </c>
      <c r="B15" s="5" t="inlineStr">
        <is>
          <t>Susu UHT Ultra Milk Full Cream</t>
        </is>
      </c>
      <c r="C15" s="5" t="inlineStr">
        <is>
          <t>1 L</t>
        </is>
      </c>
      <c r="D15" s="16" t="n"/>
      <c r="E15" s="16" t="n"/>
      <c r="F15" s="16" t="n"/>
      <c r="G15" s="16" t="n"/>
      <c r="H15" s="16" t="n"/>
      <c r="I15" s="17">
        <f>IF(COUNT(D15:H15)=0,"",MIN(D15:H15))</f>
        <v/>
      </c>
      <c r="J15" s="18">
        <f>IF(COUNT(D15:H15)=0,"",INDEX($D$4:$H$4,MATCH(I15,D15:H15,0)))</f>
        <v/>
      </c>
      <c r="K15" s="17">
        <f>IF(COUNT(D15:H15)&lt;2,"",MAX(D15:H15)-MIN(D15:H15))</f>
        <v/>
      </c>
      <c r="L15" s="19">
        <f>IF(COUNT(D15:H15)&lt;2,"",IF(MIN(D15:H15)=0,"",(MAX(D15:H15)-MIN(D15:H15))/MIN(D15:H15)))</f>
        <v/>
      </c>
      <c r="M15" s="18">
        <f>IF(COUNT(D15:H15)=COLUMNS(D15:H15),1,0)</f>
        <v/>
      </c>
      <c r="N15" s="5" t="n"/>
    </row>
    <row r="16">
      <c r="A16" s="15" t="n">
        <v>9</v>
      </c>
      <c r="B16" s="5" t="inlineStr">
        <is>
          <t>Susu kental manis Frisian Flag</t>
        </is>
      </c>
      <c r="C16" s="5" t="inlineStr">
        <is>
          <t>370 g</t>
        </is>
      </c>
      <c r="D16" s="16" t="n"/>
      <c r="E16" s="16" t="n"/>
      <c r="F16" s="16" t="n"/>
      <c r="G16" s="16" t="n"/>
      <c r="H16" s="16" t="n"/>
      <c r="I16" s="17">
        <f>IF(COUNT(D16:H16)=0,"",MIN(D16:H16))</f>
        <v/>
      </c>
      <c r="J16" s="18">
        <f>IF(COUNT(D16:H16)=0,"",INDEX($D$4:$H$4,MATCH(I16,D16:H16,0)))</f>
        <v/>
      </c>
      <c r="K16" s="17">
        <f>IF(COUNT(D16:H16)&lt;2,"",MAX(D16:H16)-MIN(D16:H16))</f>
        <v/>
      </c>
      <c r="L16" s="19">
        <f>IF(COUNT(D16:H16)&lt;2,"",IF(MIN(D16:H16)=0,"",(MAX(D16:H16)-MIN(D16:H16))/MIN(D16:H16)))</f>
        <v/>
      </c>
      <c r="M16" s="18">
        <f>IF(COUNT(D16:H16)=COLUMNS(D16:H16),1,0)</f>
        <v/>
      </c>
      <c r="N16" s="5" t="n"/>
    </row>
    <row r="17">
      <c r="A17" s="15" t="n">
        <v>10</v>
      </c>
      <c r="B17" s="5" t="inlineStr">
        <is>
          <t>Kopi bubuk Kapal Api Special</t>
        </is>
      </c>
      <c r="C17" s="5" t="inlineStr">
        <is>
          <t>165 g</t>
        </is>
      </c>
      <c r="D17" s="16" t="n"/>
      <c r="E17" s="16" t="n"/>
      <c r="F17" s="16" t="n"/>
      <c r="G17" s="16" t="n"/>
      <c r="H17" s="16" t="n"/>
      <c r="I17" s="17">
        <f>IF(COUNT(D17:H17)=0,"",MIN(D17:H17))</f>
        <v/>
      </c>
      <c r="J17" s="18">
        <f>IF(COUNT(D17:H17)=0,"",INDEX($D$4:$H$4,MATCH(I17,D17:H17,0)))</f>
        <v/>
      </c>
      <c r="K17" s="17">
        <f>IF(COUNT(D17:H17)&lt;2,"",MAX(D17:H17)-MIN(D17:H17))</f>
        <v/>
      </c>
      <c r="L17" s="19">
        <f>IF(COUNT(D17:H17)&lt;2,"",IF(MIN(D17:H17)=0,"",(MAX(D17:H17)-MIN(D17:H17))/MIN(D17:H17)))</f>
        <v/>
      </c>
      <c r="M17" s="18">
        <f>IF(COUNT(D17:H17)=COLUMNS(D17:H17),1,0)</f>
        <v/>
      </c>
      <c r="N17" s="5" t="n"/>
    </row>
    <row r="18">
      <c r="A18" s="15" t="n">
        <v>11</v>
      </c>
      <c r="B18" s="5" t="inlineStr">
        <is>
          <t>Teh celup Sariwangi</t>
        </is>
      </c>
      <c r="C18" s="5" t="inlineStr">
        <is>
          <t>25 kantong</t>
        </is>
      </c>
      <c r="D18" s="16" t="n"/>
      <c r="E18" s="16" t="n"/>
      <c r="F18" s="16" t="n"/>
      <c r="G18" s="16" t="n"/>
      <c r="H18" s="16" t="n"/>
      <c r="I18" s="17">
        <f>IF(COUNT(D18:H18)=0,"",MIN(D18:H18))</f>
        <v/>
      </c>
      <c r="J18" s="18">
        <f>IF(COUNT(D18:H18)=0,"",INDEX($D$4:$H$4,MATCH(I18,D18:H18,0)))</f>
        <v/>
      </c>
      <c r="K18" s="17">
        <f>IF(COUNT(D18:H18)&lt;2,"",MAX(D18:H18)-MIN(D18:H18))</f>
        <v/>
      </c>
      <c r="L18" s="19">
        <f>IF(COUNT(D18:H18)&lt;2,"",IF(MIN(D18:H18)=0,"",(MAX(D18:H18)-MIN(D18:H18))/MIN(D18:H18)))</f>
        <v/>
      </c>
      <c r="M18" s="18">
        <f>IF(COUNT(D18:H18)=COLUMNS(D18:H18),1,0)</f>
        <v/>
      </c>
      <c r="N18" s="5" t="n"/>
    </row>
    <row r="19">
      <c r="A19" s="15" t="n">
        <v>12</v>
      </c>
      <c r="B19" s="5" t="inlineStr">
        <is>
          <t>Kecap manis ABC</t>
        </is>
      </c>
      <c r="C19" s="5" t="inlineStr">
        <is>
          <t>275 ml</t>
        </is>
      </c>
      <c r="D19" s="16" t="n"/>
      <c r="E19" s="16" t="n"/>
      <c r="F19" s="16" t="n"/>
      <c r="G19" s="16" t="n"/>
      <c r="H19" s="16" t="n"/>
      <c r="I19" s="17">
        <f>IF(COUNT(D19:H19)=0,"",MIN(D19:H19))</f>
        <v/>
      </c>
      <c r="J19" s="18">
        <f>IF(COUNT(D19:H19)=0,"",INDEX($D$4:$H$4,MATCH(I19,D19:H19,0)))</f>
        <v/>
      </c>
      <c r="K19" s="17">
        <f>IF(COUNT(D19:H19)&lt;2,"",MAX(D19:H19)-MIN(D19:H19))</f>
        <v/>
      </c>
      <c r="L19" s="19">
        <f>IF(COUNT(D19:H19)&lt;2,"",IF(MIN(D19:H19)=0,"",(MAX(D19:H19)-MIN(D19:H19))/MIN(D19:H19)))</f>
        <v/>
      </c>
      <c r="M19" s="18">
        <f>IF(COUNT(D19:H19)=COLUMNS(D19:H19),1,0)</f>
        <v/>
      </c>
      <c r="N19" s="5" t="n"/>
    </row>
    <row r="20">
      <c r="A20" s="15" t="n">
        <v>13</v>
      </c>
      <c r="B20" s="5" t="inlineStr">
        <is>
          <t>Garam Refina</t>
        </is>
      </c>
      <c r="C20" s="5" t="inlineStr">
        <is>
          <t>250 g</t>
        </is>
      </c>
      <c r="D20" s="16" t="n"/>
      <c r="E20" s="16" t="n"/>
      <c r="F20" s="16" t="n"/>
      <c r="G20" s="16" t="n"/>
      <c r="H20" s="16" t="n"/>
      <c r="I20" s="17">
        <f>IF(COUNT(D20:H20)=0,"",MIN(D20:H20))</f>
        <v/>
      </c>
      <c r="J20" s="18">
        <f>IF(COUNT(D20:H20)=0,"",INDEX($D$4:$H$4,MATCH(I20,D20:H20,0)))</f>
        <v/>
      </c>
      <c r="K20" s="17">
        <f>IF(COUNT(D20:H20)&lt;2,"",MAX(D20:H20)-MIN(D20:H20))</f>
        <v/>
      </c>
      <c r="L20" s="19">
        <f>IF(COUNT(D20:H20)&lt;2,"",IF(MIN(D20:H20)=0,"",(MAX(D20:H20)-MIN(D20:H20))/MIN(D20:H20)))</f>
        <v/>
      </c>
      <c r="M20" s="18">
        <f>IF(COUNT(D20:H20)=COLUMNS(D20:H20),1,0)</f>
        <v/>
      </c>
      <c r="N20" s="5" t="n"/>
    </row>
    <row r="21">
      <c r="A21" s="15" t="n">
        <v>14</v>
      </c>
      <c r="B21" s="5" t="inlineStr">
        <is>
          <t>Deterjen bubuk Rinso</t>
        </is>
      </c>
      <c r="C21" s="5" t="inlineStr">
        <is>
          <t>800 g</t>
        </is>
      </c>
      <c r="D21" s="16" t="n"/>
      <c r="E21" s="16" t="n"/>
      <c r="F21" s="16" t="n"/>
      <c r="G21" s="16" t="n"/>
      <c r="H21" s="16" t="n"/>
      <c r="I21" s="17">
        <f>IF(COUNT(D21:H21)=0,"",MIN(D21:H21))</f>
        <v/>
      </c>
      <c r="J21" s="18">
        <f>IF(COUNT(D21:H21)=0,"",INDEX($D$4:$H$4,MATCH(I21,D21:H21,0)))</f>
        <v/>
      </c>
      <c r="K21" s="17">
        <f>IF(COUNT(D21:H21)&lt;2,"",MAX(D21:H21)-MIN(D21:H21))</f>
        <v/>
      </c>
      <c r="L21" s="19">
        <f>IF(COUNT(D21:H21)&lt;2,"",IF(MIN(D21:H21)=0,"",(MAX(D21:H21)-MIN(D21:H21))/MIN(D21:H21)))</f>
        <v/>
      </c>
      <c r="M21" s="18">
        <f>IF(COUNT(D21:H21)=COLUMNS(D21:H21),1,0)</f>
        <v/>
      </c>
      <c r="N21" s="5" t="n"/>
    </row>
    <row r="22">
      <c r="A22" s="15" t="n">
        <v>15</v>
      </c>
      <c r="B22" s="5" t="inlineStr">
        <is>
          <t>Sabun cuci piring Sunlight (pouch)</t>
        </is>
      </c>
      <c r="C22" s="5" t="inlineStr">
        <is>
          <t>catat ukuran persis</t>
        </is>
      </c>
      <c r="D22" s="16" t="n"/>
      <c r="E22" s="16" t="n"/>
      <c r="F22" s="16" t="n"/>
      <c r="G22" s="16" t="n"/>
      <c r="H22" s="16" t="n"/>
      <c r="I22" s="17">
        <f>IF(COUNT(D22:H22)=0,"",MIN(D22:H22))</f>
        <v/>
      </c>
      <c r="J22" s="18">
        <f>IF(COUNT(D22:H22)=0,"",INDEX($D$4:$H$4,MATCH(I22,D22:H22,0)))</f>
        <v/>
      </c>
      <c r="K22" s="17">
        <f>IF(COUNT(D22:H22)&lt;2,"",MAX(D22:H22)-MIN(D22:H22))</f>
        <v/>
      </c>
      <c r="L22" s="19">
        <f>IF(COUNT(D22:H22)&lt;2,"",IF(MIN(D22:H22)=0,"",(MAX(D22:H22)-MIN(D22:H22))/MIN(D22:H22)))</f>
        <v/>
      </c>
      <c r="M22" s="18">
        <f>IF(COUNT(D22:H22)=COLUMNS(D22:H22),1,0)</f>
        <v/>
      </c>
      <c r="N22" s="5" t="n"/>
    </row>
  </sheetData>
  <dataValidations count="2">
    <dataValidation sqref="D5:H5" showDropDown="0" showInputMessage="0" showErrorMessage="0" allowBlank="1" type="list">
      <formula1>"minimarket,supermarket,pasar,warung,grosir"</formula1>
    </dataValidation>
    <dataValidation sqref="D8:H22" showDropDown="0" showInputMessage="0" showErrorMessage="1" allowBlank="1" errorTitle="Angka saja" error="Isi harga dalam angka (tanpa Rp / titik / teks). Kosongkan jika tidak dijual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  <col width="22" customWidth="1" min="4" max="4"/>
    <col width="22" customWidth="1" min="5" max="5"/>
    <col width="18" customWidth="1" min="6" max="6"/>
  </cols>
  <sheetData>
    <row r="1">
      <c r="B1" s="1" t="inlineStr">
        <is>
          <t>Ringkasan eksperimen harga</t>
        </is>
      </c>
    </row>
    <row r="2">
      <c r="B2" s="2" t="inlineStr">
        <is>
          <t>Hanya barang yang tercatat di SEMUA toko dipakai agar perbandingan adil.</t>
        </is>
      </c>
    </row>
    <row r="4">
      <c r="B4" s="3" t="inlineStr">
        <is>
          <t>Asumsi (sel biru, boleh diubah)</t>
        </is>
      </c>
    </row>
    <row r="5">
      <c r="B5" s="9" t="inlineStr">
        <is>
          <t>Biaya tetap per toko tambahan (Rp)</t>
        </is>
      </c>
      <c r="C5" s="16" t="n">
        <v>3000</v>
      </c>
      <c r="D5" s="2" t="inlineStr">
        <is>
          <t>Asumsi dari PLAN.md; pengganti jarak/bensin/waktu.</t>
        </is>
      </c>
    </row>
    <row r="6">
      <c r="B6" s="9" t="inlineStr">
        <is>
          <t>Ambang selisih bermakna (%)</t>
        </is>
      </c>
      <c r="C6" s="20" t="n">
        <v>0.03</v>
      </c>
      <c r="D6" s="2" t="inlineStr">
        <is>
          <t>Kriteria pivot PLAN.md: di bawah 3% dianggap kecil.</t>
        </is>
      </c>
    </row>
    <row r="7">
      <c r="B7" s="9" t="inlineStr">
        <is>
          <t>Minimum barang lengkap agar vonis dipercaya</t>
        </is>
      </c>
      <c r="C7" s="21" t="n">
        <v>8</v>
      </c>
      <c r="D7" s="2" t="inlineStr">
        <is>
          <t>Asumsi kerja (belum dari sumber lain): 8 dari 15 barang.</t>
        </is>
      </c>
    </row>
    <row r="9">
      <c r="B9" s="3" t="inlineStr">
        <is>
          <t>Kelengkapan data</t>
        </is>
      </c>
    </row>
    <row r="10">
      <c r="B10" s="9" t="inlineStr">
        <is>
          <t>Barang tercatat di semua toko</t>
        </is>
      </c>
      <c r="C10" s="22">
        <f>SUM(Catat!$M$8:$M$22)</f>
        <v/>
      </c>
    </row>
    <row r="11">
      <c r="B11" s="9" t="inlineStr">
        <is>
          <t>Total barang dalam daftar</t>
        </is>
      </c>
      <c r="C11" s="22">
        <f>COUNTA(Catat!$B$8:$B$22)</f>
        <v/>
      </c>
    </row>
    <row r="13">
      <c r="B13" s="3" t="inlineStr">
        <is>
          <t>Total keranjang per toko (barang lengkap saja)</t>
        </is>
      </c>
    </row>
    <row r="14" ht="32" customHeight="1">
      <c r="B14" s="14" t="inlineStr">
        <is>
          <t>Toko</t>
        </is>
      </c>
      <c r="C14" s="14" t="inlineStr">
        <is>
          <t>Total (Rp)</t>
        </is>
      </c>
      <c r="D14" s="14" t="inlineStr">
        <is>
          <t>Lebih mahal dari toko termurah (Rp)</t>
        </is>
      </c>
      <c r="E14" s="14" t="inlineStr">
        <is>
          <t>Lebih mahal (%)</t>
        </is>
      </c>
    </row>
    <row r="15">
      <c r="B15" s="7">
        <f>Catat!D4</f>
        <v/>
      </c>
      <c r="C15" s="17">
        <f>SUMIFS(Catat!D8:D22,Catat!$M$8:$M$22,1)</f>
        <v/>
      </c>
      <c r="D15" s="17">
        <f>C15-MIN($C$15:$C$19)</f>
        <v/>
      </c>
      <c r="E15" s="19">
        <f>IF(MIN($C$15:$C$19)=0,"",D15/MIN($C$15:$C$19))</f>
        <v/>
      </c>
    </row>
    <row r="16">
      <c r="B16" s="7">
        <f>Catat!E4</f>
        <v/>
      </c>
      <c r="C16" s="17">
        <f>SUMIFS(Catat!E8:E22,Catat!$M$8:$M$22,1)</f>
        <v/>
      </c>
      <c r="D16" s="17">
        <f>C16-MIN($C$15:$C$19)</f>
        <v/>
      </c>
      <c r="E16" s="19">
        <f>IF(MIN($C$15:$C$19)=0,"",D16/MIN($C$15:$C$19))</f>
        <v/>
      </c>
    </row>
    <row r="17">
      <c r="B17" s="7">
        <f>Catat!F4</f>
        <v/>
      </c>
      <c r="C17" s="17">
        <f>SUMIFS(Catat!F8:F22,Catat!$M$8:$M$22,1)</f>
        <v/>
      </c>
      <c r="D17" s="17">
        <f>C17-MIN($C$15:$C$19)</f>
        <v/>
      </c>
      <c r="E17" s="19">
        <f>IF(MIN($C$15:$C$19)=0,"",D17/MIN($C$15:$C$19))</f>
        <v/>
      </c>
    </row>
    <row r="18">
      <c r="B18" s="7">
        <f>Catat!G4</f>
        <v/>
      </c>
      <c r="C18" s="17">
        <f>SUMIFS(Catat!G8:G22,Catat!$M$8:$M$22,1)</f>
        <v/>
      </c>
      <c r="D18" s="17">
        <f>C18-MIN($C$15:$C$19)</f>
        <v/>
      </c>
      <c r="E18" s="19">
        <f>IF(MIN($C$15:$C$19)=0,"",D18/MIN($C$15:$C$19))</f>
        <v/>
      </c>
    </row>
    <row r="19">
      <c r="B19" s="7">
        <f>Catat!H4</f>
        <v/>
      </c>
      <c r="C19" s="17">
        <f>SUMIFS(Catat!H8:H22,Catat!$M$8:$M$22,1)</f>
        <v/>
      </c>
      <c r="D19" s="17">
        <f>C19-MIN($C$15:$C$19)</f>
        <v/>
      </c>
      <c r="E19" s="19">
        <f>IF(MIN($C$15:$C$19)=0,"",D19/MIN($C$15:$C$19))</f>
        <v/>
      </c>
    </row>
    <row r="21">
      <c r="B21" s="3" t="inlineStr">
        <is>
          <t>Beli tiap barang di toko termurah (batas atas, butuh ke semua toko)</t>
        </is>
      </c>
    </row>
    <row r="22">
      <c r="B22" s="9" t="inlineStr">
        <is>
          <t>Total jika semua barang di toko termurahnya</t>
        </is>
      </c>
      <c r="C22" s="17">
        <f>SUMIFS(Catat!$I$8:$I$22,Catat!$M$8:$M$22,1)</f>
        <v/>
      </c>
    </row>
    <row r="23">
      <c r="B23" s="9" t="inlineStr">
        <is>
          <t>Hemat vs toko tunggal termurah (Rp)</t>
        </is>
      </c>
      <c r="C23" s="17">
        <f>MIN($C$15:$C$19)-C22</f>
        <v/>
      </c>
    </row>
    <row r="24">
      <c r="B24" s="9" t="inlineStr">
        <is>
          <t>Hemat vs toko tunggal termurah (%)</t>
        </is>
      </c>
      <c r="C24" s="19">
        <f>IF(MIN($C$15:$C$19)=0,"",C23/MIN($C$15:$C$19))</f>
        <v/>
      </c>
    </row>
    <row r="26">
      <c r="B26" s="3" t="inlineStr">
        <is>
          <t>Kombinasi 2 toko (tiap barang dibeli di yang lebih murah dari keduanya)</t>
        </is>
      </c>
    </row>
    <row r="27" ht="32" customHeight="1">
      <c r="B27" s="14" t="inlineStr">
        <is>
          <t>Kombinasi</t>
        </is>
      </c>
      <c r="C27" s="14" t="inlineStr">
        <is>
          <t>Total (Rp)</t>
        </is>
      </c>
      <c r="D27" s="14" t="inlineStr">
        <is>
          <t>Hemat kotor vs toko tunggal termurah (Rp)</t>
        </is>
      </c>
      <c r="E27" s="14" t="inlineStr">
        <is>
          <t>Hemat bersih setelah biaya toko tambahan (Rp)</t>
        </is>
      </c>
      <c r="F27" s="14" t="inlineStr">
        <is>
          <t>Hemat bersih (%)</t>
        </is>
      </c>
    </row>
    <row r="28">
      <c r="B28" s="7">
        <f>Catat!D4&amp;" + "&amp;Catat!E4</f>
        <v/>
      </c>
      <c r="C28" s="17">
        <f>SUMPRODUCT(Catat!$M$8:$M$22*((Catat!$D$8:$D$22&lt;Catat!$E$8:$E$22)*Catat!$D$8:$D$22+(Catat!$D$8:$D$22&gt;=Catat!$E$8:$E$22)*Catat!$E$8:$E$22))</f>
        <v/>
      </c>
      <c r="D28" s="17">
        <f>MIN($C$15:$C$19)-C28</f>
        <v/>
      </c>
      <c r="E28" s="17">
        <f>D28-$C$5</f>
        <v/>
      </c>
      <c r="F28" s="19">
        <f>IF(MIN($C$15:$C$19)=0,"",E28/MIN($C$15:$C$19))</f>
        <v/>
      </c>
    </row>
    <row r="29">
      <c r="B29" s="7">
        <f>Catat!D4&amp;" + "&amp;Catat!F4</f>
        <v/>
      </c>
      <c r="C29" s="17">
        <f>SUMPRODUCT(Catat!$M$8:$M$22*((Catat!$D$8:$D$22&lt;Catat!$F$8:$F$22)*Catat!$D$8:$D$22+(Catat!$D$8:$D$22&gt;=Catat!$F$8:$F$22)*Catat!$F$8:$F$22))</f>
        <v/>
      </c>
      <c r="D29" s="17">
        <f>MIN($C$15:$C$19)-C29</f>
        <v/>
      </c>
      <c r="E29" s="17">
        <f>D29-$C$5</f>
        <v/>
      </c>
      <c r="F29" s="19">
        <f>IF(MIN($C$15:$C$19)=0,"",E29/MIN($C$15:$C$19))</f>
        <v/>
      </c>
    </row>
    <row r="30">
      <c r="B30" s="7">
        <f>Catat!D4&amp;" + "&amp;Catat!G4</f>
        <v/>
      </c>
      <c r="C30" s="17">
        <f>SUMPRODUCT(Catat!$M$8:$M$22*((Catat!$D$8:$D$22&lt;Catat!$G$8:$G$22)*Catat!$D$8:$D$22+(Catat!$D$8:$D$22&gt;=Catat!$G$8:$G$22)*Catat!$G$8:$G$22))</f>
        <v/>
      </c>
      <c r="D30" s="17">
        <f>MIN($C$15:$C$19)-C30</f>
        <v/>
      </c>
      <c r="E30" s="17">
        <f>D30-$C$5</f>
        <v/>
      </c>
      <c r="F30" s="19">
        <f>IF(MIN($C$15:$C$19)=0,"",E30/MIN($C$15:$C$19))</f>
        <v/>
      </c>
    </row>
    <row r="31">
      <c r="B31" s="7">
        <f>Catat!D4&amp;" + "&amp;Catat!H4</f>
        <v/>
      </c>
      <c r="C31" s="17">
        <f>SUMPRODUCT(Catat!$M$8:$M$22*((Catat!$D$8:$D$22&lt;Catat!$H$8:$H$22)*Catat!$D$8:$D$22+(Catat!$D$8:$D$22&gt;=Catat!$H$8:$H$22)*Catat!$H$8:$H$22))</f>
        <v/>
      </c>
      <c r="D31" s="17">
        <f>MIN($C$15:$C$19)-C31</f>
        <v/>
      </c>
      <c r="E31" s="17">
        <f>D31-$C$5</f>
        <v/>
      </c>
      <c r="F31" s="19">
        <f>IF(MIN($C$15:$C$19)=0,"",E31/MIN($C$15:$C$19))</f>
        <v/>
      </c>
    </row>
    <row r="32">
      <c r="B32" s="7">
        <f>Catat!E4&amp;" + "&amp;Catat!F4</f>
        <v/>
      </c>
      <c r="C32" s="17">
        <f>SUMPRODUCT(Catat!$M$8:$M$22*((Catat!$E$8:$E$22&lt;Catat!$F$8:$F$22)*Catat!$E$8:$E$22+(Catat!$E$8:$E$22&gt;=Catat!$F$8:$F$22)*Catat!$F$8:$F$22))</f>
        <v/>
      </c>
      <c r="D32" s="17">
        <f>MIN($C$15:$C$19)-C32</f>
        <v/>
      </c>
      <c r="E32" s="17">
        <f>D32-$C$5</f>
        <v/>
      </c>
      <c r="F32" s="19">
        <f>IF(MIN($C$15:$C$19)=0,"",E32/MIN($C$15:$C$19))</f>
        <v/>
      </c>
    </row>
    <row r="33">
      <c r="B33" s="7">
        <f>Catat!E4&amp;" + "&amp;Catat!G4</f>
        <v/>
      </c>
      <c r="C33" s="17">
        <f>SUMPRODUCT(Catat!$M$8:$M$22*((Catat!$E$8:$E$22&lt;Catat!$G$8:$G$22)*Catat!$E$8:$E$22+(Catat!$E$8:$E$22&gt;=Catat!$G$8:$G$22)*Catat!$G$8:$G$22))</f>
        <v/>
      </c>
      <c r="D33" s="17">
        <f>MIN($C$15:$C$19)-C33</f>
        <v/>
      </c>
      <c r="E33" s="17">
        <f>D33-$C$5</f>
        <v/>
      </c>
      <c r="F33" s="19">
        <f>IF(MIN($C$15:$C$19)=0,"",E33/MIN($C$15:$C$19))</f>
        <v/>
      </c>
    </row>
    <row r="34">
      <c r="B34" s="7">
        <f>Catat!E4&amp;" + "&amp;Catat!H4</f>
        <v/>
      </c>
      <c r="C34" s="17">
        <f>SUMPRODUCT(Catat!$M$8:$M$22*((Catat!$E$8:$E$22&lt;Catat!$H$8:$H$22)*Catat!$E$8:$E$22+(Catat!$E$8:$E$22&gt;=Catat!$H$8:$H$22)*Catat!$H$8:$H$22))</f>
        <v/>
      </c>
      <c r="D34" s="17">
        <f>MIN($C$15:$C$19)-C34</f>
        <v/>
      </c>
      <c r="E34" s="17">
        <f>D34-$C$5</f>
        <v/>
      </c>
      <c r="F34" s="19">
        <f>IF(MIN($C$15:$C$19)=0,"",E34/MIN($C$15:$C$19))</f>
        <v/>
      </c>
    </row>
    <row r="35">
      <c r="B35" s="7">
        <f>Catat!F4&amp;" + "&amp;Catat!G4</f>
        <v/>
      </c>
      <c r="C35" s="17">
        <f>SUMPRODUCT(Catat!$M$8:$M$22*((Catat!$F$8:$F$22&lt;Catat!$G$8:$G$22)*Catat!$F$8:$F$22+(Catat!$F$8:$F$22&gt;=Catat!$G$8:$G$22)*Catat!$G$8:$G$22))</f>
        <v/>
      </c>
      <c r="D35" s="17">
        <f>MIN($C$15:$C$19)-C35</f>
        <v/>
      </c>
      <c r="E35" s="17">
        <f>D35-$C$5</f>
        <v/>
      </c>
      <c r="F35" s="19">
        <f>IF(MIN($C$15:$C$19)=0,"",E35/MIN($C$15:$C$19))</f>
        <v/>
      </c>
    </row>
    <row r="36">
      <c r="B36" s="7">
        <f>Catat!F4&amp;" + "&amp;Catat!H4</f>
        <v/>
      </c>
      <c r="C36" s="17">
        <f>SUMPRODUCT(Catat!$M$8:$M$22*((Catat!$F$8:$F$22&lt;Catat!$H$8:$H$22)*Catat!$F$8:$F$22+(Catat!$F$8:$F$22&gt;=Catat!$H$8:$H$22)*Catat!$H$8:$H$22))</f>
        <v/>
      </c>
      <c r="D36" s="17">
        <f>MIN($C$15:$C$19)-C36</f>
        <v/>
      </c>
      <c r="E36" s="17">
        <f>D36-$C$5</f>
        <v/>
      </c>
      <c r="F36" s="19">
        <f>IF(MIN($C$15:$C$19)=0,"",E36/MIN($C$15:$C$19))</f>
        <v/>
      </c>
    </row>
    <row r="37">
      <c r="B37" s="7">
        <f>Catat!G4&amp;" + "&amp;Catat!H4</f>
        <v/>
      </c>
      <c r="C37" s="17">
        <f>SUMPRODUCT(Catat!$M$8:$M$22*((Catat!$G$8:$G$22&lt;Catat!$H$8:$H$22)*Catat!$G$8:$G$22+(Catat!$G$8:$G$22&gt;=Catat!$H$8:$H$22)*Catat!$H$8:$H$22))</f>
        <v/>
      </c>
      <c r="D37" s="17">
        <f>MIN($C$15:$C$19)-C37</f>
        <v/>
      </c>
      <c r="E37" s="17">
        <f>D37-$C$5</f>
        <v/>
      </c>
      <c r="F37" s="19">
        <f>IF(MIN($C$15:$C$19)=0,"",E37/MIN($C$15:$C$19))</f>
        <v/>
      </c>
    </row>
    <row r="38">
      <c r="B38" s="23" t="inlineStr">
        <is>
          <t>Kombinasi 2 toko terbaik (hemat bersih tertinggi)</t>
        </is>
      </c>
      <c r="C38" s="23">
        <f>IF(MAX(E28:E37)&lt;=0,"tidak ada yang untung",INDEX(B28:B37,MATCH(MAX(E28:E37),E28:E37,0)))</f>
        <v/>
      </c>
      <c r="D38" s="24" t="n"/>
      <c r="E38" s="25" t="n"/>
    </row>
    <row r="39">
      <c r="B39" s="26" t="inlineStr">
        <is>
          <t>Hemat bersih terbaik 2 toko (Rp)</t>
        </is>
      </c>
      <c r="C39" s="27">
        <f>MAX(E28:E37)</f>
        <v/>
      </c>
    </row>
    <row r="40">
      <c r="B40" s="26" t="inlineStr">
        <is>
          <t>Hemat bersih terbaik 2 toko (%)</t>
        </is>
      </c>
      <c r="C40" s="28">
        <f>MAX(F28:F37)</f>
        <v/>
      </c>
    </row>
    <row r="42">
      <c r="B42" s="3" t="inlineStr">
        <is>
          <t>Sebaran selisih harga per barang (semua barang yang tercatat di ≥ 2 toko)</t>
        </is>
      </c>
    </row>
    <row r="43">
      <c r="B43" s="9" t="inlineStr">
        <is>
          <t>Jumlah barang dengan selisih ≥ ambang</t>
        </is>
      </c>
      <c r="C43" s="22">
        <f>COUNTIF(Catat!$L$8:$L$22,"&gt;="&amp;$C$6)</f>
        <v/>
      </c>
    </row>
    <row r="44">
      <c r="B44" s="9" t="inlineStr">
        <is>
          <t>Median selisih maks–min (%)</t>
        </is>
      </c>
      <c r="C44" s="19">
        <f>IFERROR(MEDIAN(Catat!$L$8:$L$22),"")</f>
        <v/>
      </c>
    </row>
    <row r="45">
      <c r="B45" s="9" t="inlineStr">
        <is>
          <t>Selisih terbesar (%)</t>
        </is>
      </c>
      <c r="C45" s="19">
        <f>IF(COUNT(Catat!$L$8:$L$22)=0,"",MAX(Catat!$L$8:$L$22))</f>
        <v/>
      </c>
    </row>
    <row r="47">
      <c r="B47" s="3" t="inlineStr">
        <is>
          <t>Vonis</t>
        </is>
      </c>
    </row>
    <row r="48" ht="34" customHeight="1">
      <c r="B48" s="29">
        <f>IF($C$10&lt;$C$7,"Data belum cukup: butuh minimal "&amp;$C$7&amp;" barang yang tercatat di semua toko.",IF(N(C40)&lt;$C$6,"Selisih kecil (&lt; ambang): hemat bersih 2 toko di bawah ambang. Pertimbangkan pivot sesuai PLAN.md.","Selisih bermakna: wedge pilih-toko layak dilanjutkan."))</f>
        <v/>
      </c>
      <c r="C48" s="24" t="n"/>
      <c r="D48" s="24" t="n"/>
      <c r="E48" s="24" t="n"/>
      <c r="F48" s="25" t="n"/>
    </row>
    <row r="49" ht="40" customHeight="1">
      <c r="B49" s="30" t="inlineStr">
        <is>
          <t>Vonis memakai hemat bersih terbaik 2 toko (%) vs ambang di C6, karena itulah yang akan direkomendasikan aplikasi. Selisih satu kali pengamatan belum tentu mewakili; ulangi di minggu berbeda bila perlu.</t>
        </is>
      </c>
    </row>
  </sheetData>
  <mergeCells count="3">
    <mergeCell ref="B48:F48"/>
    <mergeCell ref="B49:F49"/>
    <mergeCell ref="C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2026-10-22T04:03:59Z</dcterms:created>
  <dcterms:modified xmlns:dcterms="http://purl.org/dc/terms/" xmlns:xsi="http://www.w3.org/2001/XMLSchema-instance" xsi:type="dcterms:W3CDTF">2026-10-22T04:03:59Z</dcterms:modified>
</cp:coreProperties>
</file>